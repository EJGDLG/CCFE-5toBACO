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ci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Categoría</t>
        </is>
      </c>
      <c r="D1" t="inlineStr">
        <is>
          <t>Proveedor</t>
        </is>
      </c>
      <c r="E1" t="inlineStr">
        <is>
          <t>Stock</t>
        </is>
      </c>
      <c r="F1" t="inlineStr">
        <is>
          <t>Precio Unitario</t>
        </is>
      </c>
    </row>
    <row r="2">
      <c r="A2" t="inlineStr">
        <is>
          <t>P001</t>
        </is>
      </c>
      <c r="B2" t="inlineStr">
        <is>
          <t>Laptop Lenovo</t>
        </is>
      </c>
      <c r="C2" t="inlineStr">
        <is>
          <t>Tecnología</t>
        </is>
      </c>
      <c r="D2" t="inlineStr">
        <is>
          <t>Dell GT</t>
        </is>
      </c>
      <c r="E2" t="n">
        <v>15</v>
      </c>
      <c r="F2" t="n">
        <v>4500</v>
      </c>
    </row>
    <row r="3">
      <c r="A3" t="inlineStr">
        <is>
          <t>P002</t>
        </is>
      </c>
      <c r="B3" t="inlineStr">
        <is>
          <t>Mouse Logitech</t>
        </is>
      </c>
      <c r="C3" t="inlineStr">
        <is>
          <t>Accesorios</t>
        </is>
      </c>
      <c r="D3" t="inlineStr">
        <is>
          <t>Logitech</t>
        </is>
      </c>
      <c r="E3" t="n">
        <v>50</v>
      </c>
      <c r="F3" t="n">
        <v>120</v>
      </c>
    </row>
    <row r="4">
      <c r="A4" t="inlineStr">
        <is>
          <t>P003</t>
        </is>
      </c>
      <c r="B4" t="inlineStr">
        <is>
          <t>Teclado Mecánico</t>
        </is>
      </c>
      <c r="C4" t="inlineStr">
        <is>
          <t>Accesorios</t>
        </is>
      </c>
      <c r="D4" t="inlineStr">
        <is>
          <t>Redragon</t>
        </is>
      </c>
      <c r="E4" t="n">
        <v>30</v>
      </c>
      <c r="F4" t="n">
        <v>250</v>
      </c>
    </row>
    <row r="5">
      <c r="A5" t="inlineStr">
        <is>
          <t>P004</t>
        </is>
      </c>
      <c r="B5" t="inlineStr">
        <is>
          <t>Monitor 24''</t>
        </is>
      </c>
      <c r="C5" t="inlineStr">
        <is>
          <t>Tecnología</t>
        </is>
      </c>
      <c r="D5" t="inlineStr">
        <is>
          <t>Samsung</t>
        </is>
      </c>
      <c r="E5" t="n">
        <v>20</v>
      </c>
      <c r="F5" t="n">
        <v>1200</v>
      </c>
    </row>
    <row r="6">
      <c r="A6" t="inlineStr">
        <is>
          <t>P005</t>
        </is>
      </c>
      <c r="B6" t="inlineStr">
        <is>
          <t>Impresora HP</t>
        </is>
      </c>
      <c r="C6" t="inlineStr">
        <is>
          <t>Oficina</t>
        </is>
      </c>
      <c r="D6" t="inlineStr">
        <is>
          <t>HP</t>
        </is>
      </c>
      <c r="E6" t="n">
        <v>10</v>
      </c>
      <c r="F6" t="n">
        <v>900</v>
      </c>
    </row>
    <row r="7">
      <c r="A7" t="inlineStr">
        <is>
          <t>P006</t>
        </is>
      </c>
      <c r="B7" t="inlineStr">
        <is>
          <t>USB 32GB</t>
        </is>
      </c>
      <c r="C7" t="inlineStr">
        <is>
          <t>Accesorios</t>
        </is>
      </c>
      <c r="D7" t="inlineStr">
        <is>
          <t>Kingston</t>
        </is>
      </c>
      <c r="E7" t="n">
        <v>80</v>
      </c>
      <c r="F7" t="n">
        <v>60</v>
      </c>
    </row>
    <row r="8">
      <c r="A8" t="inlineStr">
        <is>
          <t>P007</t>
        </is>
      </c>
      <c r="B8" t="inlineStr">
        <is>
          <t>Disco SSD 512GB</t>
        </is>
      </c>
      <c r="C8" t="inlineStr">
        <is>
          <t>Tecnología</t>
        </is>
      </c>
      <c r="D8" t="inlineStr">
        <is>
          <t>Kingston</t>
        </is>
      </c>
      <c r="E8" t="n">
        <v>25</v>
      </c>
      <c r="F8" t="n">
        <v>400</v>
      </c>
    </row>
    <row r="9">
      <c r="A9" t="inlineStr">
        <is>
          <t>P008</t>
        </is>
      </c>
      <c r="B9" t="inlineStr">
        <is>
          <t>Router WiFi</t>
        </is>
      </c>
      <c r="C9" t="inlineStr">
        <is>
          <t>Redes</t>
        </is>
      </c>
      <c r="D9" t="inlineStr">
        <is>
          <t>TP-Link</t>
        </is>
      </c>
      <c r="E9" t="n">
        <v>18</v>
      </c>
      <c r="F9" t="n">
        <v>300</v>
      </c>
    </row>
    <row r="10">
      <c r="A10" t="inlineStr">
        <is>
          <t>P009</t>
        </is>
      </c>
      <c r="B10" t="inlineStr">
        <is>
          <t>Cámara Seguridad</t>
        </is>
      </c>
      <c r="C10" t="inlineStr">
        <is>
          <t>Seguridad</t>
        </is>
      </c>
      <c r="D10" t="inlineStr">
        <is>
          <t>Hikvision</t>
        </is>
      </c>
      <c r="E10" t="n">
        <v>12</v>
      </c>
      <c r="F10" t="n">
        <v>700</v>
      </c>
    </row>
    <row r="11">
      <c r="A11" t="inlineStr">
        <is>
          <t>P010</t>
        </is>
      </c>
      <c r="B11" t="inlineStr">
        <is>
          <t>Tablet Samsung</t>
        </is>
      </c>
      <c r="C11" t="inlineStr">
        <is>
          <t>Tecnología</t>
        </is>
      </c>
      <c r="D11" t="inlineStr">
        <is>
          <t>Samsung</t>
        </is>
      </c>
      <c r="E11" t="n">
        <v>14</v>
      </c>
      <c r="F11" t="n">
        <v>1500</v>
      </c>
    </row>
    <row r="12">
      <c r="A12" t="inlineStr">
        <is>
          <t>P011</t>
        </is>
      </c>
      <c r="B12" t="inlineStr">
        <is>
          <t>Laptop HP</t>
        </is>
      </c>
      <c r="C12" t="inlineStr">
        <is>
          <t>Tecnología</t>
        </is>
      </c>
      <c r="D12" t="inlineStr">
        <is>
          <t>HP</t>
        </is>
      </c>
      <c r="E12" t="n">
        <v>10</v>
      </c>
      <c r="F12" t="n">
        <v>4200</v>
      </c>
    </row>
    <row r="13">
      <c r="A13" t="inlineStr">
        <is>
          <t>P012</t>
        </is>
      </c>
      <c r="B13" t="inlineStr">
        <is>
          <t>Audífonos</t>
        </is>
      </c>
      <c r="C13" t="inlineStr">
        <is>
          <t>Accesorios</t>
        </is>
      </c>
      <c r="D13" t="inlineStr">
        <is>
          <t>Sony</t>
        </is>
      </c>
      <c r="E13" t="n">
        <v>40</v>
      </c>
      <c r="F13" t="n">
        <v>200</v>
      </c>
    </row>
    <row r="14">
      <c r="A14" t="inlineStr">
        <is>
          <t>P013</t>
        </is>
      </c>
      <c r="B14" t="inlineStr">
        <is>
          <t>Webcam</t>
        </is>
      </c>
      <c r="C14" t="inlineStr">
        <is>
          <t>Accesorios</t>
        </is>
      </c>
      <c r="D14" t="inlineStr">
        <is>
          <t>Logitech</t>
        </is>
      </c>
      <c r="E14" t="n">
        <v>22</v>
      </c>
      <c r="F14" t="n">
        <v>180</v>
      </c>
    </row>
    <row r="15">
      <c r="A15" t="inlineStr">
        <is>
          <t>P014</t>
        </is>
      </c>
      <c r="B15" t="inlineStr">
        <is>
          <t>Proyector</t>
        </is>
      </c>
      <c r="C15" t="inlineStr">
        <is>
          <t>Oficina</t>
        </is>
      </c>
      <c r="D15" t="inlineStr">
        <is>
          <t>Epson</t>
        </is>
      </c>
      <c r="E15" t="n">
        <v>8</v>
      </c>
      <c r="F15" t="n">
        <v>2500</v>
      </c>
    </row>
    <row r="16">
      <c r="A16" t="inlineStr">
        <is>
          <t>P015</t>
        </is>
      </c>
      <c r="B16" t="inlineStr">
        <is>
          <t>Silla Oficina</t>
        </is>
      </c>
      <c r="C16" t="inlineStr">
        <is>
          <t>Mobiliario</t>
        </is>
      </c>
      <c r="D16" t="inlineStr">
        <is>
          <t>Ikea</t>
        </is>
      </c>
      <c r="E16" t="n">
        <v>16</v>
      </c>
      <c r="F16" t="n">
        <v>850</v>
      </c>
    </row>
    <row r="17">
      <c r="A17" t="inlineStr">
        <is>
          <t>P016</t>
        </is>
      </c>
      <c r="B17" t="inlineStr">
        <is>
          <t>Escritorio</t>
        </is>
      </c>
      <c r="C17" t="inlineStr">
        <is>
          <t>Mobiliario</t>
        </is>
      </c>
      <c r="D17" t="inlineStr">
        <is>
          <t>Ikea</t>
        </is>
      </c>
      <c r="E17" t="n">
        <v>12</v>
      </c>
      <c r="F17" t="n">
        <v>1200</v>
      </c>
    </row>
    <row r="18">
      <c r="A18" t="inlineStr">
        <is>
          <t>P017</t>
        </is>
      </c>
      <c r="B18" t="inlineStr">
        <is>
          <t>Switch 8 puertos</t>
        </is>
      </c>
      <c r="C18" t="inlineStr">
        <is>
          <t>Redes</t>
        </is>
      </c>
      <c r="D18" t="inlineStr">
        <is>
          <t>TP-Link</t>
        </is>
      </c>
      <c r="E18" t="n">
        <v>20</v>
      </c>
      <c r="F18" t="n">
        <v>220</v>
      </c>
    </row>
    <row r="19">
      <c r="A19" t="inlineStr">
        <is>
          <t>P018</t>
        </is>
      </c>
      <c r="B19" t="inlineStr">
        <is>
          <t>Cable HDMI</t>
        </is>
      </c>
      <c r="C19" t="inlineStr">
        <is>
          <t>Accesorios</t>
        </is>
      </c>
      <c r="D19" t="inlineStr">
        <is>
          <t>Genérico</t>
        </is>
      </c>
      <c r="E19" t="n">
        <v>60</v>
      </c>
      <c r="F19" t="n">
        <v>35</v>
      </c>
    </row>
    <row r="20">
      <c r="A20" t="inlineStr">
        <is>
          <t>P019</t>
        </is>
      </c>
      <c r="B20" t="inlineStr">
        <is>
          <t>Laptop Asus</t>
        </is>
      </c>
      <c r="C20" t="inlineStr">
        <is>
          <t>Tecnología</t>
        </is>
      </c>
      <c r="D20" t="inlineStr">
        <is>
          <t>Asus</t>
        </is>
      </c>
      <c r="E20" t="n">
        <v>9</v>
      </c>
      <c r="F20" t="n">
        <v>4300</v>
      </c>
    </row>
    <row r="21">
      <c r="A21" t="inlineStr">
        <is>
          <t>P020</t>
        </is>
      </c>
      <c r="B21" t="inlineStr">
        <is>
          <t>Impresora Epson</t>
        </is>
      </c>
      <c r="C21" t="inlineStr">
        <is>
          <t>Oficina</t>
        </is>
      </c>
      <c r="D21" t="inlineStr">
        <is>
          <t>Epson</t>
        </is>
      </c>
      <c r="E21" t="n">
        <v>7</v>
      </c>
      <c r="F21" t="n">
        <v>950</v>
      </c>
    </row>
    <row r="22">
      <c r="A22" t="inlineStr">
        <is>
          <t>P021</t>
        </is>
      </c>
      <c r="B22" t="inlineStr">
        <is>
          <t>Mousepad</t>
        </is>
      </c>
      <c r="C22" t="inlineStr">
        <is>
          <t>Accesorios</t>
        </is>
      </c>
      <c r="D22" t="inlineStr">
        <is>
          <t>Genérico</t>
        </is>
      </c>
      <c r="E22" t="n">
        <v>100</v>
      </c>
      <c r="F22" t="n">
        <v>25</v>
      </c>
    </row>
    <row r="23">
      <c r="A23" t="inlineStr">
        <is>
          <t>P022</t>
        </is>
      </c>
      <c r="B23" t="inlineStr">
        <is>
          <t>Bocinas</t>
        </is>
      </c>
      <c r="C23" t="inlineStr">
        <is>
          <t>Accesorios</t>
        </is>
      </c>
      <c r="D23" t="inlineStr">
        <is>
          <t>Sony</t>
        </is>
      </c>
      <c r="E23" t="n">
        <v>15</v>
      </c>
      <c r="F23" t="n">
        <v>300</v>
      </c>
    </row>
    <row r="24">
      <c r="A24" t="inlineStr">
        <is>
          <t>P023</t>
        </is>
      </c>
      <c r="B24" t="inlineStr">
        <is>
          <t>Disco HDD 1TB</t>
        </is>
      </c>
      <c r="C24" t="inlineStr">
        <is>
          <t>Tecnología</t>
        </is>
      </c>
      <c r="D24" t="inlineStr">
        <is>
          <t>Seagate</t>
        </is>
      </c>
      <c r="E24" t="n">
        <v>18</v>
      </c>
      <c r="F24" t="n">
        <v>350</v>
      </c>
    </row>
    <row r="25">
      <c r="A25" t="inlineStr">
        <is>
          <t>P024</t>
        </is>
      </c>
      <c r="B25" t="inlineStr">
        <is>
          <t>Smartphone Samsung</t>
        </is>
      </c>
      <c r="C25" t="inlineStr">
        <is>
          <t>Tecnología</t>
        </is>
      </c>
      <c r="D25" t="inlineStr">
        <is>
          <t>Samsung</t>
        </is>
      </c>
      <c r="E25" t="n">
        <v>11</v>
      </c>
      <c r="F25" t="n">
        <v>2800</v>
      </c>
    </row>
    <row r="26">
      <c r="A26" t="inlineStr">
        <is>
          <t>P025</t>
        </is>
      </c>
      <c r="B26" t="inlineStr">
        <is>
          <t>Smartphone Xiaomi</t>
        </is>
      </c>
      <c r="C26" t="inlineStr">
        <is>
          <t>Tecnología</t>
        </is>
      </c>
      <c r="D26" t="inlineStr">
        <is>
          <t>Xiaomi</t>
        </is>
      </c>
      <c r="E26" t="n">
        <v>13</v>
      </c>
      <c r="F26" t="n">
        <v>2200</v>
      </c>
    </row>
    <row r="27">
      <c r="A27" t="inlineStr">
        <is>
          <t>P026</t>
        </is>
      </c>
      <c r="B27" t="inlineStr">
        <is>
          <t>UPS</t>
        </is>
      </c>
      <c r="C27" t="inlineStr">
        <is>
          <t>Seguridad</t>
        </is>
      </c>
      <c r="D27" t="inlineStr">
        <is>
          <t>APC</t>
        </is>
      </c>
      <c r="E27" t="n">
        <v>6</v>
      </c>
      <c r="F27" t="n">
        <v>1100</v>
      </c>
    </row>
    <row r="28">
      <c r="A28" t="inlineStr">
        <is>
          <t>P027</t>
        </is>
      </c>
      <c r="B28" t="inlineStr">
        <is>
          <t>Extensión eléctrica</t>
        </is>
      </c>
      <c r="C28" t="inlineStr">
        <is>
          <t>Accesorios</t>
        </is>
      </c>
      <c r="D28" t="inlineStr">
        <is>
          <t>Genérico</t>
        </is>
      </c>
      <c r="E28" t="n">
        <v>35</v>
      </c>
      <c r="F28" t="n">
        <v>80</v>
      </c>
    </row>
    <row r="29">
      <c r="A29" t="inlineStr">
        <is>
          <t>P028</t>
        </is>
      </c>
      <c r="B29" t="inlineStr">
        <is>
          <t>Cámara Web Pro</t>
        </is>
      </c>
      <c r="C29" t="inlineStr">
        <is>
          <t>Accesorios</t>
        </is>
      </c>
      <c r="D29" t="inlineStr">
        <is>
          <t>Logitech</t>
        </is>
      </c>
      <c r="E29" t="n">
        <v>10</v>
      </c>
      <c r="F29" t="n">
        <v>350</v>
      </c>
    </row>
    <row r="30">
      <c r="A30" t="inlineStr">
        <is>
          <t>P029</t>
        </is>
      </c>
      <c r="B30" t="inlineStr">
        <is>
          <t>Router Empresarial</t>
        </is>
      </c>
      <c r="C30" t="inlineStr">
        <is>
          <t>Redes</t>
        </is>
      </c>
      <c r="D30" t="inlineStr">
        <is>
          <t>Cisco</t>
        </is>
      </c>
      <c r="E30" t="n">
        <v>5</v>
      </c>
      <c r="F30" t="n">
        <v>3200</v>
      </c>
    </row>
    <row r="31">
      <c r="A31" t="inlineStr">
        <is>
          <t>P030</t>
        </is>
      </c>
      <c r="B31" t="inlineStr">
        <is>
          <t>Servidor básico</t>
        </is>
      </c>
      <c r="C31" t="inlineStr">
        <is>
          <t>Tecnología</t>
        </is>
      </c>
      <c r="D31" t="inlineStr">
        <is>
          <t>Dell</t>
        </is>
      </c>
      <c r="E31" t="n">
        <v>3</v>
      </c>
      <c r="F31" t="n">
        <v>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Producto</t>
        </is>
      </c>
      <c r="B1" t="inlineStr">
        <is>
          <t>Producto</t>
        </is>
      </c>
      <c r="C1" t="inlineStr">
        <is>
          <t>Precio</t>
        </is>
      </c>
      <c r="D1" t="inlineStr">
        <is>
          <t>Cantidad</t>
        </is>
      </c>
      <c r="E1" t="inlineStr">
        <is>
          <t>Total</t>
        </is>
      </c>
    </row>
    <row r="2">
      <c r="B2">
        <f>IFERROR(VLOOKUP(A2,Inventario!A:F,2,FALSE),"")</f>
        <v/>
      </c>
      <c r="C2">
        <f>IFERROR(VLOOKUP(A2,Inventario!A:F,6,FALSE),"")</f>
        <v/>
      </c>
      <c r="E2">
        <f>IF(D2="","",C2*D2)</f>
        <v/>
      </c>
    </row>
    <row r="3">
      <c r="B3">
        <f>IFERROR(VLOOKUP(A3,Inventario!A:F,2,FALSE),"")</f>
        <v/>
      </c>
      <c r="C3">
        <f>IFERROR(VLOOKUP(A3,Inventario!A:F,6,FALSE),"")</f>
        <v/>
      </c>
      <c r="E3">
        <f>IF(D3="","",C3*D3)</f>
        <v/>
      </c>
    </row>
    <row r="4">
      <c r="B4">
        <f>IFERROR(VLOOKUP(A4,Inventario!A:F,2,FALSE),"")</f>
        <v/>
      </c>
      <c r="C4">
        <f>IFERROR(VLOOKUP(A4,Inventario!A:F,6,FALSE),"")</f>
        <v/>
      </c>
      <c r="E4">
        <f>IF(D4="","",C4*D4)</f>
        <v/>
      </c>
    </row>
    <row r="5">
      <c r="B5">
        <f>IFERROR(VLOOKUP(A5,Inventario!A:F,2,FALSE),"")</f>
        <v/>
      </c>
      <c r="C5">
        <f>IFERROR(VLOOKUP(A5,Inventario!A:F,6,FALSE),"")</f>
        <v/>
      </c>
      <c r="E5">
        <f>IF(D5="","",C5*D5)</f>
        <v/>
      </c>
    </row>
    <row r="6">
      <c r="B6">
        <f>IFERROR(VLOOKUP(A6,Inventario!A:F,2,FALSE),"")</f>
        <v/>
      </c>
      <c r="C6">
        <f>IFERROR(VLOOKUP(A6,Inventario!A:F,6,FALSE),"")</f>
        <v/>
      </c>
      <c r="E6">
        <f>IF(D6="","",C6*D6)</f>
        <v/>
      </c>
    </row>
    <row r="7">
      <c r="B7">
        <f>IFERROR(VLOOKUP(A7,Inventario!A:F,2,FALSE),"")</f>
        <v/>
      </c>
      <c r="C7">
        <f>IFERROR(VLOOKUP(A7,Inventario!A:F,6,FALSE),"")</f>
        <v/>
      </c>
      <c r="E7">
        <f>IF(D7="","",C7*D7)</f>
        <v/>
      </c>
    </row>
    <row r="8">
      <c r="B8">
        <f>IFERROR(VLOOKUP(A8,Inventario!A:F,2,FALSE),"")</f>
        <v/>
      </c>
      <c r="C8">
        <f>IFERROR(VLOOKUP(A8,Inventario!A:F,6,FALSE),"")</f>
        <v/>
      </c>
      <c r="E8">
        <f>IF(D8="","",C8*D8)</f>
        <v/>
      </c>
    </row>
    <row r="9">
      <c r="B9">
        <f>IFERROR(VLOOKUP(A9,Inventario!A:F,2,FALSE),"")</f>
        <v/>
      </c>
      <c r="C9">
        <f>IFERROR(VLOOKUP(A9,Inventario!A:F,6,FALSE),"")</f>
        <v/>
      </c>
      <c r="E9">
        <f>IF(D9="","",C9*D9)</f>
        <v/>
      </c>
    </row>
    <row r="10">
      <c r="B10">
        <f>IFERROR(VLOOKUP(A10,Inventario!A:F,2,FALSE),"")</f>
        <v/>
      </c>
      <c r="C10">
        <f>IFERROR(VLOOKUP(A10,Inventario!A:F,6,FALSE),"")</f>
        <v/>
      </c>
      <c r="E10">
        <f>IF(D10="","",C10*D10)</f>
        <v/>
      </c>
    </row>
    <row r="11">
      <c r="B11">
        <f>IFERROR(VLOOKUP(A11,Inventario!A:F,2,FALSE),"")</f>
        <v/>
      </c>
      <c r="C11">
        <f>IFERROR(VLOOKUP(A11,Inventario!A:F,6,FALSE),"")</f>
        <v/>
      </c>
      <c r="E11">
        <f>IF(D11="","",C11*D11)</f>
        <v/>
      </c>
    </row>
    <row r="12">
      <c r="B12">
        <f>IFERROR(VLOOKUP(A12,Inventario!A:F,2,FALSE),"")</f>
        <v/>
      </c>
      <c r="C12">
        <f>IFERROR(VLOOKUP(A12,Inventario!A:F,6,FALSE),"")</f>
        <v/>
      </c>
      <c r="E12">
        <f>IF(D12="","",C12*D12)</f>
        <v/>
      </c>
    </row>
    <row r="13">
      <c r="B13">
        <f>IFERROR(VLOOKUP(A13,Inventario!A:F,2,FALSE),"")</f>
        <v/>
      </c>
      <c r="C13">
        <f>IFERROR(VLOOKUP(A13,Inventario!A:F,6,FALSE),"")</f>
        <v/>
      </c>
      <c r="E13">
        <f>IF(D13="","",C13*D13)</f>
        <v/>
      </c>
    </row>
    <row r="14">
      <c r="B14">
        <f>IFERROR(VLOOKUP(A14,Inventario!A:F,2,FALSE),"")</f>
        <v/>
      </c>
      <c r="C14">
        <f>IFERROR(VLOOKUP(A14,Inventario!A:F,6,FALSE),"")</f>
        <v/>
      </c>
      <c r="E14">
        <f>IF(D14="","",C14*D14)</f>
        <v/>
      </c>
    </row>
    <row r="15">
      <c r="B15">
        <f>IFERROR(VLOOKUP(A15,Inventario!A:F,2,FALSE),"")</f>
        <v/>
      </c>
      <c r="C15">
        <f>IFERROR(VLOOKUP(A15,Inventario!A:F,6,FALSE),"")</f>
        <v/>
      </c>
      <c r="E15">
        <f>IF(D15="","",C15*D15)</f>
        <v/>
      </c>
    </row>
  </sheetData>
  <dataValidations count="1">
    <dataValidation sqref="A2:A15" showDropDown="0" showInputMessage="0" showErrorMessage="0" allowBlank="0" type="list">
      <formula1>=Inventario!$A$2:$A$31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2026-03-27T05:37:14Z</dcterms:created>
  <dcterms:modified xmlns:dcterms="http://purl.org/dc/terms/" xmlns:xsi="http://www.w3.org/2001/XMLSchema-instance" xsi:type="dcterms:W3CDTF">2026-03-27T05:37:14Z</dcterms:modified>
</cp:coreProperties>
</file>